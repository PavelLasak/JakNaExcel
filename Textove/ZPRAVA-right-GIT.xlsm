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== Excel - priklady\=== Tridene\FUNKCE-BIBLE\textove\"/>
    </mc:Choice>
  </mc:AlternateContent>
  <bookViews>
    <workbookView xWindow="2160" yWindow="180" windowWidth="19020" windowHeight="6015" activeTab="4"/>
  </bookViews>
  <sheets>
    <sheet name="TEORIE" sheetId="1" r:id="rId1"/>
    <sheet name="Základy" sheetId="5" r:id="rId2"/>
    <sheet name="Odděl slova" sheetId="10" r:id="rId3"/>
    <sheet name="více funkci" sheetId="6" r:id="rId4"/>
    <sheet name="VBA" sheetId="9" r:id="rId5"/>
  </sheets>
  <calcPr calcId="171027"/>
</workbook>
</file>

<file path=xl/calcChain.xml><?xml version="1.0" encoding="utf-8"?>
<calcChain xmlns="http://schemas.openxmlformats.org/spreadsheetml/2006/main">
  <c r="B5" i="9" l="1"/>
  <c r="B4" i="9"/>
  <c r="C5" i="9"/>
  <c r="C4" i="9"/>
  <c r="C17" i="6" l="1"/>
  <c r="C22" i="6"/>
  <c r="C21" i="6"/>
  <c r="C20" i="6"/>
  <c r="C19" i="6"/>
  <c r="C18" i="6"/>
  <c r="C6" i="6"/>
  <c r="E5" i="6"/>
  <c r="E7" i="6"/>
  <c r="E6" i="6"/>
  <c r="C11" i="6"/>
  <c r="C7" i="10"/>
  <c r="D7" i="10"/>
  <c r="C8" i="10"/>
  <c r="D8" i="10"/>
  <c r="C6" i="10"/>
  <c r="D6" i="10"/>
  <c r="B13" i="5"/>
  <c r="B12" i="5"/>
  <c r="B11" i="5"/>
  <c r="B10" i="5"/>
  <c r="B9" i="5"/>
  <c r="C7" i="6"/>
  <c r="C8" i="6"/>
  <c r="C9" i="6"/>
  <c r="C10" i="6"/>
  <c r="B8" i="5"/>
  <c r="B17" i="1"/>
  <c r="B16" i="1"/>
  <c r="C12" i="5"/>
  <c r="E7" i="10"/>
  <c r="E6" i="10"/>
  <c r="C13" i="5"/>
  <c r="F6" i="10"/>
  <c r="C10" i="5"/>
  <c r="F7" i="10"/>
  <c r="F8" i="10"/>
  <c r="C11" i="5"/>
  <c r="E8" i="10"/>
</calcChain>
</file>

<file path=xl/sharedStrings.xml><?xml version="1.0" encoding="utf-8"?>
<sst xmlns="http://schemas.openxmlformats.org/spreadsheetml/2006/main" count="63" uniqueCount="47">
  <si>
    <t>http://office.lasakovi.com</t>
  </si>
  <si>
    <t>Popis</t>
  </si>
  <si>
    <t>Vrátí určitý počet znaků od konce řetězce (zprava).</t>
  </si>
  <si>
    <t>Syntaxe CZ</t>
  </si>
  <si>
    <t>ZPRAVA(text;znaky)</t>
  </si>
  <si>
    <t>Syntaxe EN</t>
  </si>
  <si>
    <t>RIGHT(text,znaky)</t>
  </si>
  <si>
    <t>Popis argumentů</t>
  </si>
  <si>
    <t>Text je textový řetězec.</t>
  </si>
  <si>
    <t>Znaky určuje, kolik znaků z konce řetězce se má vrátit. ( Toto číslo musí být větší nebo rovno nule. Jestliže počet není uveden, uvažuje se číslo 1.)</t>
  </si>
  <si>
    <t>Příklady</t>
  </si>
  <si>
    <t>=ZPRAVA("Prodejní cena"; 4)</t>
  </si>
  <si>
    <t>=ZPRAVA("Počet akcií")</t>
  </si>
  <si>
    <t>Další použití</t>
  </si>
  <si>
    <t>Pavel Lasák - 2013</t>
  </si>
  <si>
    <t>viz ZLEVA</t>
  </si>
  <si>
    <t>ZPRAVA    (RIGHT)   - vpravo</t>
  </si>
  <si>
    <t>Zdrojová tabulka</t>
  </si>
  <si>
    <t>výsledek</t>
  </si>
  <si>
    <r>
      <t xml:space="preserve">Prvni druhe treti ctvrté </t>
    </r>
    <r>
      <rPr>
        <b/>
        <sz val="10"/>
        <rFont val="Arial"/>
        <family val="2"/>
        <charset val="238"/>
      </rPr>
      <t xml:space="preserve">páte </t>
    </r>
    <r>
      <rPr>
        <sz val="10"/>
        <rFont val="Arial"/>
        <family val="2"/>
      </rPr>
      <t>šesté</t>
    </r>
  </si>
  <si>
    <r>
      <rPr>
        <b/>
        <sz val="10"/>
        <rFont val="Arial"/>
        <family val="2"/>
        <charset val="238"/>
      </rPr>
      <t>Prvni</t>
    </r>
    <r>
      <rPr>
        <sz val="10"/>
        <rFont val="Arial"/>
        <family val="2"/>
      </rPr>
      <t xml:space="preserve"> druhe</t>
    </r>
  </si>
  <si>
    <r>
      <t>Prvni</t>
    </r>
    <r>
      <rPr>
        <b/>
        <sz val="10"/>
        <rFont val="Arial"/>
        <family val="2"/>
        <charset val="238"/>
      </rPr>
      <t xml:space="preserve"> DruheSlovo</t>
    </r>
    <r>
      <rPr>
        <sz val="10"/>
        <rFont val="Arial"/>
        <family val="2"/>
      </rPr>
      <t xml:space="preserve"> treti </t>
    </r>
  </si>
  <si>
    <t>Funkce</t>
  </si>
  <si>
    <t>Zápis funkce</t>
  </si>
  <si>
    <r>
      <t xml:space="preserve">Prvni druhe </t>
    </r>
    <r>
      <rPr>
        <b/>
        <sz val="10"/>
        <rFont val="Arial"/>
        <family val="2"/>
        <charset val="238"/>
      </rPr>
      <t>treti</t>
    </r>
    <r>
      <rPr>
        <sz val="10"/>
        <rFont val="Arial"/>
        <family val="2"/>
      </rPr>
      <t xml:space="preserve"> ctvrté</t>
    </r>
  </si>
  <si>
    <r>
      <t xml:space="preserve">Prvni druhe treti </t>
    </r>
    <r>
      <rPr>
        <b/>
        <sz val="10"/>
        <rFont val="Arial"/>
        <family val="2"/>
        <charset val="238"/>
      </rPr>
      <t>ctvrté</t>
    </r>
    <r>
      <rPr>
        <sz val="10"/>
        <rFont val="Arial"/>
        <family val="2"/>
      </rPr>
      <t xml:space="preserve"> páte</t>
    </r>
  </si>
  <si>
    <t>=PROČISTIT(ZLEVA(ZPRAVA(DOSADIT(PROČISTIT(B5);" ";OPAKOVAT(" ";DÉLKA(B5)));2*DÉLKA(B5)); DÉLKA(B5)))</t>
  </si>
  <si>
    <t>Zobraz předposlední slovo</t>
  </si>
  <si>
    <t>Pavel Lasák</t>
  </si>
  <si>
    <t>Jméno</t>
  </si>
  <si>
    <t>Jméno a příjmení</t>
  </si>
  <si>
    <t>Příjmení</t>
  </si>
  <si>
    <t>Vzorec pro Jméno</t>
  </si>
  <si>
    <t>Vzorec pro příjmení</t>
  </si>
  <si>
    <t>Eva Vopršálková</t>
  </si>
  <si>
    <t>Abrakadabra Ab</t>
  </si>
  <si>
    <t>ZPRAVA    (RIGHT)   - oddělit příjmení</t>
  </si>
  <si>
    <t>Rozděl slova, například jméno a příjmení</t>
  </si>
  <si>
    <t>a a a a a a n e</t>
  </si>
  <si>
    <r>
      <t xml:space="preserve">Prvni      druhe treti </t>
    </r>
    <r>
      <rPr>
        <b/>
        <sz val="10"/>
        <rFont val="Arial"/>
        <family val="2"/>
        <charset val="238"/>
      </rPr>
      <t xml:space="preserve">ctvrté     </t>
    </r>
    <r>
      <rPr>
        <sz val="10"/>
        <rFont val="Arial"/>
        <family val="2"/>
      </rPr>
      <t xml:space="preserve"> páte</t>
    </r>
  </si>
  <si>
    <t>Dim Vysledek As String</t>
  </si>
  <si>
    <t>Vysledek = Left("abeceda", 2)</t>
  </si>
  <si>
    <t>MsgBox (Vysledek)</t>
  </si>
  <si>
    <t>Pavel Lasák © 2016</t>
  </si>
  <si>
    <t>RIGHT   ...    s využitím VBA</t>
  </si>
  <si>
    <t>Range("B4").Formula = "=Right(""Prodejní cena"", 4)"</t>
  </si>
  <si>
    <t>Range("B5").FormulaLocal = "=ZPRAVA(""Prodejní cena""; 4)"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</si>
</sst>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0"/>
      <name val="Arial CE"/>
      <charset val="238"/>
    </font>
    <font>
      <b/>
      <sz val="1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 CE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i/>
      <sz val="10"/>
      <name val="Arial CE"/>
      <charset val="238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</font>
    <font>
      <u/>
      <sz val="10"/>
      <color theme="10"/>
      <name val="Calibri"/>
      <family val="2"/>
      <charset val="238"/>
    </font>
    <font>
      <b/>
      <sz val="14"/>
      <color theme="4" tint="0.79998168889431442"/>
      <name val="Calibri"/>
      <family val="2"/>
      <charset val="238"/>
      <scheme val="minor"/>
    </font>
    <font>
      <sz val="9"/>
      <color theme="4" tint="0.79998168889431442"/>
      <name val="Calibri"/>
      <family val="2"/>
      <charset val="238"/>
      <scheme val="minor"/>
    </font>
    <font>
      <sz val="11"/>
      <color rgb="FF333333"/>
      <name val="Consolas"/>
      <family val="3"/>
      <charset val="238"/>
    </font>
    <font>
      <i/>
      <sz val="10"/>
      <name val="Arial"/>
      <family val="2"/>
      <charset val="238"/>
    </font>
    <font>
      <i/>
      <sz val="11"/>
      <name val="Arial"/>
      <family val="2"/>
      <charset val="238"/>
    </font>
    <font>
      <b/>
      <sz val="10"/>
      <name val="Arial CE"/>
      <charset val="238"/>
    </font>
    <font>
      <i/>
      <sz val="10"/>
      <color rgb="FF00B050"/>
      <name val="Arial CE"/>
      <charset val="238"/>
    </font>
    <font>
      <i/>
      <sz val="10"/>
      <color rgb="FF0070C0"/>
      <name val="Arial CE"/>
      <charset val="238"/>
    </font>
    <font>
      <i/>
      <sz val="10"/>
      <color theme="4" tint="-0.249977111117893"/>
      <name val="Arial CE"/>
      <charset val="238"/>
    </font>
    <font>
      <sz val="9"/>
      <color theme="0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6">
    <xf numFmtId="0" fontId="0" fillId="0" borderId="0" xfId="0"/>
    <xf numFmtId="0" fontId="10" fillId="0" borderId="0" xfId="1" applyFont="1" applyAlignment="1" applyProtection="1">
      <alignment horizontal="center"/>
    </xf>
    <xf numFmtId="0" fontId="0" fillId="0" borderId="0" xfId="0" applyFont="1"/>
    <xf numFmtId="0" fontId="0" fillId="0" borderId="0" xfId="0" quotePrefix="1"/>
    <xf numFmtId="0" fontId="1" fillId="0" borderId="0" xfId="0" applyFont="1" applyFill="1" applyAlignment="1" applyProtection="1">
      <alignment vertical="center"/>
    </xf>
    <xf numFmtId="0" fontId="0" fillId="0" borderId="0" xfId="0" applyFill="1" applyAlignment="1" applyProtection="1">
      <alignment vertical="top"/>
    </xf>
    <xf numFmtId="0" fontId="0" fillId="0" borderId="0" xfId="0" applyFill="1"/>
    <xf numFmtId="0" fontId="2" fillId="0" borderId="0" xfId="0" applyFont="1" applyFill="1" applyProtection="1"/>
    <xf numFmtId="0" fontId="0" fillId="0" borderId="0" xfId="0" applyFill="1" applyProtection="1"/>
    <xf numFmtId="0" fontId="0" fillId="0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 vertical="center"/>
    </xf>
    <xf numFmtId="0" fontId="6" fillId="0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vertical="center"/>
    </xf>
    <xf numFmtId="0" fontId="13" fillId="0" borderId="0" xfId="0" applyFont="1" applyAlignment="1">
      <alignment vertical="center"/>
    </xf>
    <xf numFmtId="0" fontId="7" fillId="0" borderId="0" xfId="0" quotePrefix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2" borderId="0" xfId="0" applyFont="1" applyFill="1" applyAlignment="1">
      <alignment vertical="center"/>
    </xf>
    <xf numFmtId="0" fontId="0" fillId="4" borderId="0" xfId="0" applyFill="1" applyAlignment="1" applyProtection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16" fillId="5" borderId="2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vertical="center"/>
    </xf>
    <xf numFmtId="0" fontId="19" fillId="0" borderId="0" xfId="0" applyFont="1"/>
    <xf numFmtId="0" fontId="11" fillId="3" borderId="0" xfId="0" applyFont="1" applyFill="1" applyAlignment="1">
      <alignment horizontal="center" vertical="center"/>
    </xf>
    <xf numFmtId="0" fontId="10" fillId="0" borderId="0" xfId="1" applyFont="1" applyAlignment="1" applyProtection="1">
      <alignment horizontal="center"/>
    </xf>
    <xf numFmtId="0" fontId="8" fillId="2" borderId="0" xfId="0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4" fillId="4" borderId="0" xfId="0" applyFont="1" applyFill="1" applyAlignment="1" applyProtection="1">
      <alignment horizontal="center" vertical="center"/>
    </xf>
    <xf numFmtId="0" fontId="15" fillId="0" borderId="0" xfId="0" quotePrefix="1" applyFont="1" applyFill="1" applyAlignment="1" applyProtection="1">
      <alignment horizontal="center" vertical="center" wrapText="1"/>
      <protection locked="0"/>
    </xf>
    <xf numFmtId="0" fontId="10" fillId="0" borderId="0" xfId="1" applyFont="1" applyAlignment="1" applyProtection="1">
      <alignment horizontal="center" vertical="center"/>
    </xf>
    <xf numFmtId="0" fontId="20" fillId="3" borderId="0" xfId="0" applyFont="1" applyFill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2743200</xdr:colOff>
          <xdr:row>11</xdr:row>
          <xdr:rowOff>142875</xdr:rowOff>
        </xdr:from>
        <xdr:to>
          <xdr:col>3</xdr:col>
          <xdr:colOff>1000125</xdr:colOff>
          <xdr:row>14</xdr:row>
          <xdr:rowOff>57150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447675</xdr:colOff>
      <xdr:row>4</xdr:row>
      <xdr:rowOff>123825</xdr:rowOff>
    </xdr:from>
    <xdr:to>
      <xdr:col>4</xdr:col>
      <xdr:colOff>200025</xdr:colOff>
      <xdr:row>6</xdr:row>
      <xdr:rowOff>66675</xdr:rowOff>
    </xdr:to>
    <xdr:sp macro="" textlink="">
      <xdr:nvSpPr>
        <xdr:cNvPr id="4" name="CommandButton1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2276475" y="847725"/>
          <a:ext cx="7905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428625</xdr:colOff>
      <xdr:row>8</xdr:row>
      <xdr:rowOff>133350</xdr:rowOff>
    </xdr:from>
    <xdr:to>
      <xdr:col>4</xdr:col>
      <xdr:colOff>180975</xdr:colOff>
      <xdr:row>10</xdr:row>
      <xdr:rowOff>76200</xdr:rowOff>
    </xdr:to>
    <xdr:sp macro="" textlink="">
      <xdr:nvSpPr>
        <xdr:cNvPr id="5" name="CommandButton2" hidden="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2257425" y="1504950"/>
          <a:ext cx="7905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10</xdr:row>
          <xdr:rowOff>133350</xdr:rowOff>
        </xdr:from>
        <xdr:to>
          <xdr:col>11</xdr:col>
          <xdr:colOff>571500</xdr:colOff>
          <xdr:row>13</xdr:row>
          <xdr:rowOff>28575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7</xdr:row>
          <xdr:rowOff>9525</xdr:rowOff>
        </xdr:from>
        <xdr:to>
          <xdr:col>3</xdr:col>
          <xdr:colOff>885825</xdr:colOff>
          <xdr:row>9</xdr:row>
          <xdr:rowOff>76200</xdr:rowOff>
        </xdr:to>
        <xdr:sp macro="" textlink="">
          <xdr:nvSpPr>
            <xdr:cNvPr id="6148" name="CommandButton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office.lasakovi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http://office.lasakovi.com/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G21"/>
  <sheetViews>
    <sheetView workbookViewId="0">
      <selection activeCell="A13" sqref="A13:G13"/>
    </sheetView>
  </sheetViews>
  <sheetFormatPr defaultRowHeight="12.75" x14ac:dyDescent="0.2"/>
  <cols>
    <col min="2" max="2" width="11.7109375" customWidth="1"/>
  </cols>
  <sheetData>
    <row r="1" spans="1:7" ht="21.75" customHeight="1" x14ac:dyDescent="0.2">
      <c r="A1" s="27" t="s">
        <v>16</v>
      </c>
      <c r="B1" s="27"/>
      <c r="C1" s="27"/>
      <c r="D1" s="27"/>
      <c r="E1" s="27"/>
      <c r="F1" s="27"/>
      <c r="G1" s="27"/>
    </row>
    <row r="2" spans="1:7" x14ac:dyDescent="0.2">
      <c r="A2" s="28" t="s">
        <v>0</v>
      </c>
      <c r="B2" s="28"/>
      <c r="C2" s="28"/>
      <c r="D2" s="28"/>
      <c r="E2" s="28"/>
      <c r="F2" s="28"/>
      <c r="G2" s="28"/>
    </row>
    <row r="3" spans="1:7" ht="5.25" customHeight="1" x14ac:dyDescent="0.2">
      <c r="A3" s="1"/>
      <c r="B3" s="1"/>
      <c r="C3" s="1"/>
      <c r="D3" s="1"/>
      <c r="E3" s="1"/>
      <c r="F3" s="1"/>
      <c r="G3" s="1"/>
    </row>
    <row r="5" spans="1:7" ht="15" x14ac:dyDescent="0.25">
      <c r="A5" s="29" t="s">
        <v>1</v>
      </c>
      <c r="B5" s="29"/>
      <c r="C5" s="29"/>
      <c r="D5" s="29"/>
      <c r="E5" s="29"/>
      <c r="F5" s="29"/>
      <c r="G5" s="29"/>
    </row>
    <row r="6" spans="1:7" x14ac:dyDescent="0.2">
      <c r="A6" t="s">
        <v>2</v>
      </c>
    </row>
    <row r="7" spans="1:7" ht="15" x14ac:dyDescent="0.25">
      <c r="A7" s="29" t="s">
        <v>3</v>
      </c>
      <c r="B7" s="29"/>
      <c r="C7" s="29"/>
      <c r="D7" s="29"/>
      <c r="E7" s="29"/>
      <c r="F7" s="29"/>
      <c r="G7" s="29"/>
    </row>
    <row r="8" spans="1:7" x14ac:dyDescent="0.2">
      <c r="A8" t="s">
        <v>4</v>
      </c>
    </row>
    <row r="9" spans="1:7" ht="15" x14ac:dyDescent="0.25">
      <c r="A9" s="29" t="s">
        <v>5</v>
      </c>
      <c r="B9" s="29"/>
      <c r="C9" s="29"/>
      <c r="D9" s="29"/>
      <c r="E9" s="29"/>
      <c r="F9" s="29"/>
      <c r="G9" s="29"/>
    </row>
    <row r="10" spans="1:7" x14ac:dyDescent="0.2">
      <c r="A10" t="s">
        <v>6</v>
      </c>
      <c r="B10" s="2"/>
      <c r="C10" s="2"/>
      <c r="D10" s="2"/>
      <c r="E10" s="2"/>
      <c r="F10" s="2"/>
      <c r="G10" s="2"/>
    </row>
    <row r="11" spans="1:7" ht="15" x14ac:dyDescent="0.25">
      <c r="A11" s="29" t="s">
        <v>7</v>
      </c>
      <c r="B11" s="29"/>
      <c r="C11" s="29"/>
      <c r="D11" s="29"/>
      <c r="E11" s="29"/>
      <c r="F11" s="29"/>
      <c r="G11" s="29"/>
    </row>
    <row r="12" spans="1:7" x14ac:dyDescent="0.2">
      <c r="A12" t="s">
        <v>8</v>
      </c>
    </row>
    <row r="13" spans="1:7" ht="33" customHeight="1" x14ac:dyDescent="0.2">
      <c r="A13" s="31" t="s">
        <v>9</v>
      </c>
      <c r="B13" s="31"/>
      <c r="C13" s="31"/>
      <c r="D13" s="31"/>
      <c r="E13" s="31"/>
      <c r="F13" s="31"/>
      <c r="G13" s="31"/>
    </row>
    <row r="15" spans="1:7" ht="15" x14ac:dyDescent="0.25">
      <c r="A15" s="29" t="s">
        <v>10</v>
      </c>
      <c r="B15" s="29"/>
      <c r="C15" s="29"/>
      <c r="D15" s="29"/>
      <c r="E15" s="29"/>
      <c r="F15" s="29"/>
      <c r="G15" s="29"/>
    </row>
    <row r="16" spans="1:7" x14ac:dyDescent="0.2">
      <c r="B16" t="str">
        <f>RIGHT("Prodejní cena", 4)</f>
        <v>cena</v>
      </c>
      <c r="D16" s="3" t="s">
        <v>11</v>
      </c>
    </row>
    <row r="17" spans="1:7" x14ac:dyDescent="0.2">
      <c r="B17" t="str">
        <f>RIGHT("Počet akcií")</f>
        <v>í</v>
      </c>
      <c r="D17" s="3" t="s">
        <v>12</v>
      </c>
    </row>
    <row r="18" spans="1:7" x14ac:dyDescent="0.2">
      <c r="D18" s="3"/>
    </row>
    <row r="19" spans="1:7" ht="15" x14ac:dyDescent="0.25">
      <c r="A19" s="29" t="s">
        <v>13</v>
      </c>
      <c r="B19" s="29"/>
      <c r="C19" s="29"/>
      <c r="D19" s="29"/>
      <c r="E19" s="29"/>
      <c r="F19" s="29"/>
      <c r="G19" s="29"/>
    </row>
    <row r="20" spans="1:7" x14ac:dyDescent="0.2">
      <c r="A20" t="s">
        <v>15</v>
      </c>
    </row>
    <row r="21" spans="1:7" x14ac:dyDescent="0.2">
      <c r="A21" s="30" t="s">
        <v>14</v>
      </c>
      <c r="B21" s="30"/>
      <c r="C21" s="30"/>
      <c r="D21" s="30"/>
      <c r="E21" s="30"/>
      <c r="F21" s="30"/>
      <c r="G21" s="30"/>
    </row>
  </sheetData>
  <mergeCells count="10">
    <mergeCell ref="A1:G1"/>
    <mergeCell ref="A2:G2"/>
    <mergeCell ref="A5:G5"/>
    <mergeCell ref="A21:G21"/>
    <mergeCell ref="A7:G7"/>
    <mergeCell ref="A9:G9"/>
    <mergeCell ref="A11:G11"/>
    <mergeCell ref="A13:G13"/>
    <mergeCell ref="A15:G15"/>
    <mergeCell ref="A19:G19"/>
  </mergeCells>
  <hyperlinks>
    <hyperlink ref="A2:G2" r:id="rId1" display="http://office.lasakovi.com"/>
  </hyperlinks>
  <pageMargins left="0.78740157499999996" right="0.78740157499999996" top="0.984251969" bottom="0.984251969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4:D15"/>
  <sheetViews>
    <sheetView topLeftCell="A4" workbookViewId="0">
      <selection activeCell="F23" sqref="F23:F24"/>
    </sheetView>
  </sheetViews>
  <sheetFormatPr defaultRowHeight="12.75" x14ac:dyDescent="0.2"/>
  <cols>
    <col min="2" max="2" width="10.28515625" customWidth="1"/>
    <col min="3" max="3" width="32.5703125" customWidth="1"/>
  </cols>
  <sheetData>
    <row r="4" spans="1:4" ht="21.75" customHeight="1" x14ac:dyDescent="0.2">
      <c r="A4" s="27" t="s">
        <v>16</v>
      </c>
      <c r="B4" s="27"/>
      <c r="C4" s="27"/>
      <c r="D4" s="27"/>
    </row>
    <row r="7" spans="1:4" s="14" customFormat="1" ht="18" customHeight="1" x14ac:dyDescent="0.2">
      <c r="B7" s="18" t="s">
        <v>22</v>
      </c>
      <c r="C7" s="18" t="s">
        <v>23</v>
      </c>
    </row>
    <row r="8" spans="1:4" s="14" customFormat="1" ht="14.25" customHeight="1" x14ac:dyDescent="0.2">
      <c r="B8" s="14" t="str">
        <f>RIGHT("Prodejní cena", 4)</f>
        <v>cena</v>
      </c>
      <c r="C8" s="16" t="s">
        <v>11</v>
      </c>
    </row>
    <row r="9" spans="1:4" s="14" customFormat="1" ht="14.25" customHeight="1" x14ac:dyDescent="0.2">
      <c r="B9" s="14" t="str">
        <f>RIGHT("Počet akcií")</f>
        <v>í</v>
      </c>
      <c r="C9" s="16" t="s">
        <v>12</v>
      </c>
    </row>
    <row r="10" spans="1:4" s="14" customFormat="1" ht="14.25" customHeight="1" x14ac:dyDescent="0.2">
      <c r="B10" s="14" t="str">
        <f>RIGHT("Počet akcií",1)</f>
        <v>í</v>
      </c>
      <c r="C10" s="17" t="str">
        <f ca="1">_xlfn.FORMULATEXT(B10)</f>
        <v>=ZPRAVA("Počet akcií";1)</v>
      </c>
    </row>
    <row r="11" spans="1:4" s="14" customFormat="1" ht="14.25" customHeight="1" x14ac:dyDescent="0.2">
      <c r="B11" s="14" t="str">
        <f>RIGHT("Počet akcií",2)</f>
        <v>ií</v>
      </c>
      <c r="C11" s="17" t="str">
        <f t="shared" ref="C11:C13" ca="1" si="0">_xlfn.FORMULATEXT(B11)</f>
        <v>=ZPRAVA("Počet akcií";2)</v>
      </c>
    </row>
    <row r="12" spans="1:4" s="14" customFormat="1" ht="14.25" customHeight="1" x14ac:dyDescent="0.2">
      <c r="B12" s="14" t="str">
        <f>RIGHT("Počet akcií",3)</f>
        <v>cií</v>
      </c>
      <c r="C12" s="17" t="str">
        <f t="shared" ca="1" si="0"/>
        <v>=ZPRAVA("Počet akcií";3)</v>
      </c>
    </row>
    <row r="13" spans="1:4" s="14" customFormat="1" ht="14.25" customHeight="1" x14ac:dyDescent="0.2">
      <c r="B13" s="14" t="str">
        <f>RIGHT("Počet akcií",5)</f>
        <v>akcií</v>
      </c>
      <c r="C13" s="17" t="str">
        <f t="shared" ca="1" si="0"/>
        <v>=ZPRAVA("Počet akcií";5)</v>
      </c>
    </row>
    <row r="15" spans="1:4" x14ac:dyDescent="0.2">
      <c r="A15" s="30" t="s">
        <v>14</v>
      </c>
      <c r="B15" s="30"/>
      <c r="C15" s="30"/>
      <c r="D15" s="30"/>
    </row>
  </sheetData>
  <mergeCells count="2">
    <mergeCell ref="A4:D4"/>
    <mergeCell ref="A15:D15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G8"/>
  <sheetViews>
    <sheetView workbookViewId="0">
      <selection activeCell="A4" sqref="A4"/>
    </sheetView>
  </sheetViews>
  <sheetFormatPr defaultRowHeight="12.75" x14ac:dyDescent="0.2"/>
  <cols>
    <col min="1" max="1" width="3" customWidth="1"/>
    <col min="2" max="2" width="17.85546875" customWidth="1"/>
    <col min="3" max="3" width="11.7109375" customWidth="1"/>
    <col min="4" max="4" width="12.5703125" customWidth="1"/>
    <col min="5" max="5" width="27.42578125" customWidth="1"/>
    <col min="6" max="6" width="38.28515625" customWidth="1"/>
    <col min="7" max="7" width="3.140625" customWidth="1"/>
  </cols>
  <sheetData>
    <row r="1" spans="1:7" ht="21.75" customHeight="1" x14ac:dyDescent="0.2">
      <c r="A1" s="27" t="s">
        <v>36</v>
      </c>
      <c r="B1" s="27"/>
      <c r="C1" s="27"/>
      <c r="D1" s="27"/>
      <c r="E1" s="27"/>
      <c r="F1" s="27"/>
      <c r="G1" s="27"/>
    </row>
    <row r="2" spans="1:7" ht="23.25" x14ac:dyDescent="0.2">
      <c r="A2" s="4"/>
      <c r="B2" s="5"/>
      <c r="C2" s="6"/>
    </row>
    <row r="3" spans="1:7" ht="16.5" customHeight="1" x14ac:dyDescent="0.2">
      <c r="A3" s="32" t="s">
        <v>37</v>
      </c>
      <c r="B3" s="32"/>
      <c r="C3" s="32"/>
      <c r="D3" s="32"/>
      <c r="E3" s="32"/>
      <c r="F3" s="32"/>
      <c r="G3" s="32"/>
    </row>
    <row r="5" spans="1:7" ht="18" customHeight="1" x14ac:dyDescent="0.2">
      <c r="B5" s="22" t="s">
        <v>30</v>
      </c>
      <c r="C5" s="22" t="s">
        <v>29</v>
      </c>
      <c r="D5" s="22" t="s">
        <v>31</v>
      </c>
      <c r="E5" s="22" t="s">
        <v>32</v>
      </c>
      <c r="F5" s="22" t="s">
        <v>33</v>
      </c>
    </row>
    <row r="6" spans="1:7" s="14" customFormat="1" ht="16.5" customHeight="1" x14ac:dyDescent="0.2">
      <c r="B6" s="14" t="s">
        <v>28</v>
      </c>
      <c r="C6" s="14" t="str">
        <f>LEFT(B6,FIND(" ",B6)-1)</f>
        <v>Pavel</v>
      </c>
      <c r="D6" s="14" t="str">
        <f>RIGHT(B6,LEN(B6)-FIND(" ",B6))</f>
        <v>Lasák</v>
      </c>
      <c r="E6" s="21" t="str">
        <f ca="1">_xlfn.FORMULATEXT(C6)</f>
        <v>=ZLEVA(B6;NAJÍT(" ";B6)-1)</v>
      </c>
      <c r="F6" s="21" t="str">
        <f ca="1">_xlfn.FORMULATEXT(D6)</f>
        <v>=ZPRAVA(B6;DÉLKA(B6)-NAJÍT(" ";B6))</v>
      </c>
    </row>
    <row r="7" spans="1:7" ht="16.5" customHeight="1" x14ac:dyDescent="0.2">
      <c r="B7" t="s">
        <v>34</v>
      </c>
      <c r="C7" s="14" t="str">
        <f t="shared" ref="C7:C8" si="0">LEFT(B7,FIND(" ",B7)-1)</f>
        <v>Eva</v>
      </c>
      <c r="D7" s="14" t="str">
        <f t="shared" ref="D7:D8" si="1">RIGHT(B7,LEN(B7)-FIND(" ",B7))</f>
        <v>Vopršálková</v>
      </c>
      <c r="E7" s="21" t="str">
        <f t="shared" ref="E7:E8" ca="1" si="2">_xlfn.FORMULATEXT(C7)</f>
        <v>=ZLEVA(B7;NAJÍT(" ";B7)-1)</v>
      </c>
      <c r="F7" s="21" t="str">
        <f t="shared" ref="F7:F8" ca="1" si="3">_xlfn.FORMULATEXT(D7)</f>
        <v>=ZPRAVA(B7;DÉLKA(B7)-NAJÍT(" ";B7))</v>
      </c>
    </row>
    <row r="8" spans="1:7" ht="16.5" customHeight="1" x14ac:dyDescent="0.2">
      <c r="B8" t="s">
        <v>35</v>
      </c>
      <c r="C8" s="14" t="str">
        <f t="shared" si="0"/>
        <v>Abrakadabra</v>
      </c>
      <c r="D8" s="14" t="str">
        <f t="shared" si="1"/>
        <v>Ab</v>
      </c>
      <c r="E8" s="21" t="str">
        <f t="shared" ca="1" si="2"/>
        <v>=ZLEVA(B8;NAJÍT(" ";B8)-1)</v>
      </c>
      <c r="F8" s="21" t="str">
        <f t="shared" ca="1" si="3"/>
        <v>=ZPRAVA(B8;DÉLKA(B8)-NAJÍT(" ";B8))</v>
      </c>
    </row>
  </sheetData>
  <mergeCells count="2">
    <mergeCell ref="A1:G1"/>
    <mergeCell ref="A3:G3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E22"/>
  <sheetViews>
    <sheetView workbookViewId="0">
      <selection activeCell="A3" sqref="A3:D3"/>
    </sheetView>
  </sheetViews>
  <sheetFormatPr defaultRowHeight="12.75" x14ac:dyDescent="0.2"/>
  <cols>
    <col min="1" max="1" width="5.7109375" customWidth="1"/>
    <col min="2" max="2" width="45.7109375" customWidth="1"/>
    <col min="3" max="3" width="13.7109375" customWidth="1"/>
  </cols>
  <sheetData>
    <row r="1" spans="1:5" ht="21.75" customHeight="1" x14ac:dyDescent="0.2">
      <c r="A1" s="27" t="s">
        <v>16</v>
      </c>
      <c r="B1" s="27"/>
      <c r="C1" s="27"/>
      <c r="D1" s="27"/>
    </row>
    <row r="2" spans="1:5" ht="23.25" x14ac:dyDescent="0.2">
      <c r="A2" s="4"/>
      <c r="B2" s="5"/>
      <c r="C2" s="6"/>
    </row>
    <row r="3" spans="1:5" ht="16.5" customHeight="1" x14ac:dyDescent="0.2">
      <c r="A3" s="32" t="s">
        <v>27</v>
      </c>
      <c r="B3" s="32"/>
      <c r="C3" s="32"/>
      <c r="D3" s="32"/>
    </row>
    <row r="4" spans="1:5" x14ac:dyDescent="0.2">
      <c r="A4" s="7"/>
      <c r="B4" s="8"/>
      <c r="C4" s="6"/>
    </row>
    <row r="5" spans="1:5" s="10" customFormat="1" ht="22.5" customHeight="1" thickBot="1" x14ac:dyDescent="0.25">
      <c r="A5" s="9"/>
      <c r="B5" s="20" t="s">
        <v>17</v>
      </c>
      <c r="C5" s="20" t="s">
        <v>18</v>
      </c>
      <c r="E5" s="10" t="str">
        <f>TRIM(B6)</f>
        <v>Prvni druhe treti ctvrté páte</v>
      </c>
    </row>
    <row r="6" spans="1:5" s="10" customFormat="1" ht="16.5" customHeight="1" thickTop="1" x14ac:dyDescent="0.2">
      <c r="B6" s="11" t="s">
        <v>25</v>
      </c>
      <c r="C6" s="19" t="str">
        <f>TRIM(LEFT(RIGHT(SUBSTITUTE(B6," ",REPT(" ",LEN(B6))),2*LEN(B6)), LEN(B6)))</f>
        <v>ctvrté</v>
      </c>
      <c r="E6" s="10" t="str">
        <f>SUBSTITUTE(TRIM(B6)," ",REPT(" ",LEN(B6)))</f>
        <v>Prvni                             druhe                             treti                             ctvrté                             páte</v>
      </c>
    </row>
    <row r="7" spans="1:5" s="10" customFormat="1" ht="16.5" customHeight="1" x14ac:dyDescent="0.2">
      <c r="B7" s="11" t="s">
        <v>24</v>
      </c>
      <c r="C7" s="12" t="str">
        <f>TRIM(LEFT(RIGHT(SUBSTITUTE(TRIM(B7)," ",REPT(" ",LEN(B7))),2*LEN(B7)), LEN(B7)))</f>
        <v>treti</v>
      </c>
      <c r="E7" s="10" t="str">
        <f>RIGHT(SUBSTITUTE(TRIM(B6)," ",REPT(" ",LEN(B6))),2*LEN(B6))</f>
        <v xml:space="preserve">                   ctvrté                             páte</v>
      </c>
    </row>
    <row r="8" spans="1:5" s="10" customFormat="1" ht="16.5" customHeight="1" x14ac:dyDescent="0.2">
      <c r="B8" s="11" t="s">
        <v>21</v>
      </c>
      <c r="C8" s="12" t="str">
        <f>TRIM(LEFT(RIGHT(SUBSTITUTE(TRIM(B8)," ",REPT(" ",LEN(B8))),2*LEN(B8)), LEN(B8)))</f>
        <v>DruheSlovo</v>
      </c>
    </row>
    <row r="9" spans="1:5" s="10" customFormat="1" ht="16.5" customHeight="1" x14ac:dyDescent="0.2">
      <c r="B9" s="13" t="s">
        <v>20</v>
      </c>
      <c r="C9" s="12" t="str">
        <f>TRIM(LEFT(RIGHT(SUBSTITUTE(TRIM(B9)," ",REPT(" ",LEN(B9))),2*LEN(B9)), LEN(B9)))</f>
        <v>Prvni</v>
      </c>
    </row>
    <row r="10" spans="1:5" s="10" customFormat="1" ht="16.5" customHeight="1" x14ac:dyDescent="0.2">
      <c r="B10" s="11" t="s">
        <v>19</v>
      </c>
      <c r="C10" s="12" t="str">
        <f>TRIM(LEFT(RIGHT(SUBSTITUTE(TRIM(B10)," ",REPT(" ",LEN(B10))),2*LEN(B10)), LEN(B10)))</f>
        <v>páte</v>
      </c>
    </row>
    <row r="11" spans="1:5" s="10" customFormat="1" ht="16.5" customHeight="1" x14ac:dyDescent="0.2">
      <c r="B11" s="11" t="s">
        <v>38</v>
      </c>
      <c r="C11" s="12" t="str">
        <f>TRIM(LEFT(RIGHT(SUBSTITUTE(TRIM(B11)," ",REPT(" ",LEN(B11))),2*LEN(B11)), LEN(B11)))</f>
        <v>n</v>
      </c>
    </row>
    <row r="13" spans="1:5" x14ac:dyDescent="0.2">
      <c r="B13" s="33" t="s">
        <v>26</v>
      </c>
      <c r="C13" s="33"/>
    </row>
    <row r="14" spans="1:5" ht="24.75" customHeight="1" x14ac:dyDescent="0.2">
      <c r="B14" s="33"/>
      <c r="C14" s="33"/>
    </row>
    <row r="16" spans="1:5" ht="13.5" thickBot="1" x14ac:dyDescent="0.25">
      <c r="B16" s="20" t="s">
        <v>17</v>
      </c>
      <c r="C16" s="20" t="s">
        <v>18</v>
      </c>
    </row>
    <row r="17" spans="2:3" ht="13.5" thickTop="1" x14ac:dyDescent="0.2">
      <c r="B17" s="11" t="s">
        <v>39</v>
      </c>
      <c r="C17" s="12" t="str">
        <f t="shared" ref="C17:C22" si="0">TRIM(LEFT(RIGHT(SUBSTITUTE(TRIM(B17)," ",REPT(" ",LEN(B17))),2*LEN(B17)), LEN(B17)))</f>
        <v>ctvrté</v>
      </c>
    </row>
    <row r="18" spans="2:3" x14ac:dyDescent="0.2">
      <c r="B18" s="11" t="s">
        <v>24</v>
      </c>
      <c r="C18" s="12" t="str">
        <f t="shared" si="0"/>
        <v>treti</v>
      </c>
    </row>
    <row r="19" spans="2:3" x14ac:dyDescent="0.2">
      <c r="B19" s="11" t="s">
        <v>21</v>
      </c>
      <c r="C19" s="12" t="str">
        <f t="shared" si="0"/>
        <v>DruheSlovo</v>
      </c>
    </row>
    <row r="20" spans="2:3" x14ac:dyDescent="0.2">
      <c r="B20" s="13" t="s">
        <v>20</v>
      </c>
      <c r="C20" s="12" t="str">
        <f t="shared" si="0"/>
        <v>Prvni</v>
      </c>
    </row>
    <row r="21" spans="2:3" x14ac:dyDescent="0.2">
      <c r="B21" s="11" t="s">
        <v>19</v>
      </c>
      <c r="C21" s="12" t="str">
        <f t="shared" si="0"/>
        <v>páte</v>
      </c>
    </row>
    <row r="22" spans="2:3" x14ac:dyDescent="0.2">
      <c r="B22" s="11" t="s">
        <v>38</v>
      </c>
      <c r="C22" s="12" t="str">
        <f t="shared" si="0"/>
        <v>n</v>
      </c>
    </row>
  </sheetData>
  <mergeCells count="3">
    <mergeCell ref="A1:D1"/>
    <mergeCell ref="B13:C14"/>
    <mergeCell ref="A3:D3"/>
  </mergeCells>
  <pageMargins left="0.7" right="0.7" top="0.78740157499999996" bottom="0.78740157499999996" header="0.3" footer="0.3"/>
  <pageSetup paperSize="25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L39"/>
  <sheetViews>
    <sheetView tabSelected="1" workbookViewId="0">
      <selection activeCell="C25" sqref="C25"/>
    </sheetView>
  </sheetViews>
  <sheetFormatPr defaultRowHeight="12.75" x14ac:dyDescent="0.2"/>
  <cols>
    <col min="1" max="1" width="4.85546875" customWidth="1"/>
    <col min="2" max="2" width="13" customWidth="1"/>
    <col min="3" max="3" width="41.42578125" customWidth="1"/>
    <col min="4" max="4" width="15.5703125" customWidth="1"/>
    <col min="5" max="5" width="4.85546875" customWidth="1"/>
  </cols>
  <sheetData>
    <row r="1" spans="1:5" ht="18.75" x14ac:dyDescent="0.2">
      <c r="A1" s="27" t="s">
        <v>44</v>
      </c>
      <c r="B1" s="27"/>
      <c r="C1" s="27"/>
      <c r="D1" s="27"/>
      <c r="E1" s="27"/>
    </row>
    <row r="2" spans="1:5" x14ac:dyDescent="0.2">
      <c r="A2" s="34" t="s">
        <v>0</v>
      </c>
      <c r="B2" s="34"/>
      <c r="C2" s="34"/>
      <c r="D2" s="34"/>
      <c r="E2" s="34"/>
    </row>
    <row r="4" spans="1:5" x14ac:dyDescent="0.2">
      <c r="B4" s="23" t="str">
        <f>RIGHT("Prodejní cena", 4)</f>
        <v>cena</v>
      </c>
      <c r="C4" s="24" t="str">
        <f ca="1">_xlfn.FORMULATEXT(B4)</f>
        <v>=ZPRAVA("Prodejní cena"; 4)</v>
      </c>
    </row>
    <row r="5" spans="1:5" x14ac:dyDescent="0.2">
      <c r="B5" s="23" t="str">
        <f>RIGHT("Prodejní cena", 4)</f>
        <v>cena</v>
      </c>
      <c r="C5" s="24" t="str">
        <f ca="1">_xlfn.FORMULATEXT(B5)</f>
        <v>=ZPRAVA("Prodejní cena"; 4)</v>
      </c>
    </row>
    <row r="8" spans="1:5" x14ac:dyDescent="0.2">
      <c r="B8" s="25" t="s">
        <v>45</v>
      </c>
    </row>
    <row r="9" spans="1:5" x14ac:dyDescent="0.2">
      <c r="B9" s="25"/>
    </row>
    <row r="10" spans="1:5" x14ac:dyDescent="0.2">
      <c r="B10" s="25" t="s">
        <v>46</v>
      </c>
    </row>
    <row r="11" spans="1:5" x14ac:dyDescent="0.2">
      <c r="B11" s="25"/>
    </row>
    <row r="12" spans="1:5" x14ac:dyDescent="0.2">
      <c r="B12" s="25"/>
    </row>
    <row r="13" spans="1:5" x14ac:dyDescent="0.2">
      <c r="B13" s="26" t="s">
        <v>40</v>
      </c>
    </row>
    <row r="14" spans="1:5" x14ac:dyDescent="0.2">
      <c r="B14" s="26" t="s">
        <v>41</v>
      </c>
    </row>
    <row r="15" spans="1:5" x14ac:dyDescent="0.2">
      <c r="B15" s="26" t="s">
        <v>42</v>
      </c>
    </row>
    <row r="16" spans="1:5" x14ac:dyDescent="0.2">
      <c r="B16" s="25"/>
    </row>
    <row r="17" spans="1:5" x14ac:dyDescent="0.2">
      <c r="A17" s="35" t="s">
        <v>43</v>
      </c>
      <c r="B17" s="35"/>
      <c r="C17" s="35"/>
      <c r="D17" s="35"/>
      <c r="E17" s="35"/>
    </row>
    <row r="26" spans="1:5" ht="15" x14ac:dyDescent="0.2">
      <c r="B26" s="15"/>
    </row>
    <row r="27" spans="1:5" x14ac:dyDescent="0.2">
      <c r="B27" s="14"/>
    </row>
    <row r="28" spans="1:5" ht="15" x14ac:dyDescent="0.2">
      <c r="B28" s="15"/>
    </row>
    <row r="37" spans="12:12" x14ac:dyDescent="0.2">
      <c r="L37" t="s">
        <v>40</v>
      </c>
    </row>
    <row r="38" spans="12:12" x14ac:dyDescent="0.2">
      <c r="L38" t="s">
        <v>41</v>
      </c>
    </row>
    <row r="39" spans="12:12" x14ac:dyDescent="0.2">
      <c r="L39" t="s">
        <v>42</v>
      </c>
    </row>
  </sheetData>
  <mergeCells count="3">
    <mergeCell ref="A1:E1"/>
    <mergeCell ref="A2:E2"/>
    <mergeCell ref="A17:E17"/>
  </mergeCells>
  <hyperlinks>
    <hyperlink ref="A2:E2" r:id="rId1" display="http://office.lasakovi.com"/>
  </hyperlinks>
  <pageMargins left="0.7" right="0.7" top="0.78740157499999996" bottom="0.78740157499999996" header="0.3" footer="0.3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Line="0" autoPict="0" r:id="rId5">
            <anchor moveWithCells="1">
              <from>
                <xdr:col>2</xdr:col>
                <xdr:colOff>2743200</xdr:colOff>
                <xdr:row>11</xdr:row>
                <xdr:rowOff>142875</xdr:rowOff>
              </from>
              <to>
                <xdr:col>3</xdr:col>
                <xdr:colOff>1000125</xdr:colOff>
                <xdr:row>14</xdr:row>
                <xdr:rowOff>57150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7" r:id="rId6" name="CommandButton3">
          <controlPr defaultSize="0" autoLine="0" r:id="rId7">
            <anchor moveWithCells="1">
              <from>
                <xdr:col>9</xdr:col>
                <xdr:colOff>38100</xdr:colOff>
                <xdr:row>10</xdr:row>
                <xdr:rowOff>133350</xdr:rowOff>
              </from>
              <to>
                <xdr:col>11</xdr:col>
                <xdr:colOff>571500</xdr:colOff>
                <xdr:row>13</xdr:row>
                <xdr:rowOff>28575</xdr:rowOff>
              </to>
            </anchor>
          </controlPr>
        </control>
      </mc:Choice>
      <mc:Fallback>
        <control shapeId="6147" r:id="rId6" name="CommandButton3"/>
      </mc:Fallback>
    </mc:AlternateContent>
    <mc:AlternateContent xmlns:mc="http://schemas.openxmlformats.org/markup-compatibility/2006">
      <mc:Choice Requires="x14">
        <control shapeId="6148" r:id="rId8" name="CommandButton4">
          <controlPr defaultSize="0" autoLine="0" r:id="rId9">
            <anchor moveWithCells="1">
              <from>
                <xdr:col>3</xdr:col>
                <xdr:colOff>19050</xdr:colOff>
                <xdr:row>7</xdr:row>
                <xdr:rowOff>9525</xdr:rowOff>
              </from>
              <to>
                <xdr:col>3</xdr:col>
                <xdr:colOff>885825</xdr:colOff>
                <xdr:row>9</xdr:row>
                <xdr:rowOff>76200</xdr:rowOff>
              </to>
            </anchor>
          </controlPr>
        </control>
      </mc:Choice>
      <mc:Fallback>
        <control shapeId="6148" r:id="rId8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5</vt:i4>
      </vt:variant>
    </vt:vector>
  </HeadingPairs>
  <TitlesOfParts>
    <vt:vector size="5" baseType="lpstr">
      <vt:lpstr>TEORIE</vt:lpstr>
      <vt:lpstr>Základy</vt:lpstr>
      <vt:lpstr>Odděl slova</vt:lpstr>
      <vt:lpstr>více funkci</vt:lpstr>
      <vt:lpstr>VBA</vt:lpstr>
    </vt:vector>
  </TitlesOfParts>
  <Company>http://office.lasakovi.com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Lasák</dc:creator>
  <cp:lastModifiedBy>PAvel LAsak</cp:lastModifiedBy>
  <dcterms:created xsi:type="dcterms:W3CDTF">2015-01-07T07:01:46Z</dcterms:created>
  <dcterms:modified xsi:type="dcterms:W3CDTF">2017-06-20T10:08:58Z</dcterms:modified>
</cp:coreProperties>
</file>